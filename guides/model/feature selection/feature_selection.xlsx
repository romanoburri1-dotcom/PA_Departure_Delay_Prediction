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mano Burri\Desktop\"/>
    </mc:Choice>
  </mc:AlternateContent>
  <xr:revisionPtr revIDLastSave="0" documentId="13_ncr:1_{DE085499-BD69-4DEA-8198-D125C978EFE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J22" i="1" s="1"/>
  <c r="G22" i="1"/>
  <c r="H22" i="1" s="1"/>
  <c r="E22" i="1"/>
  <c r="F22" i="1" s="1"/>
  <c r="J6" i="1"/>
  <c r="J7" i="1"/>
  <c r="J8" i="1"/>
  <c r="J9" i="1"/>
  <c r="J10" i="1"/>
  <c r="J11" i="1"/>
  <c r="J12" i="1"/>
  <c r="J13" i="1"/>
  <c r="H6" i="1"/>
  <c r="H7" i="1"/>
  <c r="H8" i="1"/>
  <c r="H9" i="1"/>
  <c r="H10" i="1"/>
  <c r="H11" i="1"/>
  <c r="H12" i="1"/>
  <c r="H13" i="1"/>
  <c r="F6" i="1"/>
  <c r="F12" i="1"/>
  <c r="F13" i="1"/>
  <c r="J5" i="1"/>
  <c r="H5" i="1"/>
  <c r="F5" i="1"/>
  <c r="I13" i="1"/>
  <c r="G13" i="1"/>
  <c r="E13" i="1"/>
  <c r="I12" i="1"/>
  <c r="G12" i="1"/>
  <c r="E6" i="1"/>
  <c r="E7" i="1"/>
  <c r="F7" i="1" s="1"/>
  <c r="E8" i="1"/>
  <c r="F8" i="1" s="1"/>
  <c r="E9" i="1"/>
  <c r="F9" i="1" s="1"/>
  <c r="E10" i="1"/>
  <c r="F10" i="1" s="1"/>
  <c r="E11" i="1"/>
  <c r="F11" i="1" s="1"/>
  <c r="E12" i="1"/>
  <c r="E5" i="1"/>
  <c r="I11" i="1"/>
  <c r="G11" i="1"/>
  <c r="G10" i="1"/>
  <c r="I10" i="1"/>
  <c r="I9" i="1"/>
  <c r="G9" i="1"/>
  <c r="I8" i="1"/>
  <c r="G8" i="1"/>
  <c r="I7" i="1"/>
  <c r="G7" i="1"/>
  <c r="I6" i="1"/>
  <c r="G6" i="1"/>
  <c r="I5" i="1"/>
  <c r="G5" i="1"/>
</calcChain>
</file>

<file path=xl/sharedStrings.xml><?xml version="1.0" encoding="utf-8"?>
<sst xmlns="http://schemas.openxmlformats.org/spreadsheetml/2006/main" count="33" uniqueCount="21">
  <si>
    <t>MAE</t>
  </si>
  <si>
    <t>RMSE</t>
  </si>
  <si>
    <t>R^2</t>
  </si>
  <si>
    <t>Baseline</t>
  </si>
  <si>
    <t>wind_dir_sin', 'wind_dir_cos'</t>
  </si>
  <si>
    <t>ΔR^2</t>
  </si>
  <si>
    <t>is_wind_variable'</t>
  </si>
  <si>
    <t>is_holiday'</t>
  </si>
  <si>
    <t>scheduled_B'</t>
  </si>
  <si>
    <t>scheduled_D'</t>
  </si>
  <si>
    <t>scheduled_F'</t>
  </si>
  <si>
    <t>vis_ge_10km'</t>
  </si>
  <si>
    <t>scheduled_arrivals'</t>
  </si>
  <si>
    <t>wind_dir_sin', 'wind_dir_cos', 'scheduled_B'</t>
  </si>
  <si>
    <t>ΔMAE [min]</t>
  </si>
  <si>
    <t>ΔRMSE [min]</t>
  </si>
  <si>
    <t>ΔMAE [%]</t>
  </si>
  <si>
    <t>ΔRMSE [%]</t>
  </si>
  <si>
    <t>ΔR^2 [%]</t>
  </si>
  <si>
    <t>Entferntes Feature</t>
  </si>
  <si>
    <t>Neues Modell (V1.5), nachdem 'wind_dir_sin', 'wind_dir_cos', 'scheduled_B' aus den Features entfernt wurden und neue Hyperparameter definiert wurden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</si>
</sst>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quotePrefix="1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0" xfId="0" applyFont="1" applyFill="1"/>
    <xf numFmtId="0" fontId="1" fillId="3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Standard" xfId="0" builtinId="0"/>
  </cellStyles>
  <dxfs count="6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115" zoomScaleNormal="115" workbookViewId="0">
      <selection activeCell="R10" sqref="R10"/>
    </sheetView>
  </sheetViews>
  <sheetFormatPr baseColWidth="10" defaultColWidth="9.140625" defaultRowHeight="14.25" x14ac:dyDescent="0.2"/>
  <cols>
    <col min="1" max="1" width="26.85546875" style="2" customWidth="1"/>
    <col min="2" max="2" width="15.28515625" style="2" customWidth="1"/>
    <col min="3" max="3" width="11.7109375" style="2" customWidth="1"/>
    <col min="4" max="4" width="13.28515625" style="2" customWidth="1"/>
    <col min="5" max="5" width="15.42578125" style="2" customWidth="1"/>
    <col min="6" max="6" width="14.28515625" style="2" bestFit="1" customWidth="1"/>
    <col min="7" max="8" width="13.7109375" style="2" customWidth="1"/>
    <col min="9" max="9" width="14.5703125" style="2" customWidth="1"/>
    <col min="10" max="10" width="11" style="2" customWidth="1"/>
    <col min="11" max="16384" width="9.140625" style="2"/>
  </cols>
  <sheetData>
    <row r="1" spans="1:10" ht="15" x14ac:dyDescent="0.25">
      <c r="B1" s="8" t="s">
        <v>0</v>
      </c>
      <c r="C1" s="8" t="s">
        <v>1</v>
      </c>
      <c r="D1" s="8" t="s">
        <v>2</v>
      </c>
    </row>
    <row r="2" spans="1:10" x14ac:dyDescent="0.2">
      <c r="A2" s="5" t="s">
        <v>3</v>
      </c>
      <c r="B2" s="6">
        <v>5.1191678047180096</v>
      </c>
      <c r="C2" s="6">
        <v>10.4339904785156</v>
      </c>
      <c r="D2" s="6">
        <v>0.50809854269027699</v>
      </c>
    </row>
    <row r="4" spans="1:10" ht="15" x14ac:dyDescent="0.25">
      <c r="A4" s="7" t="s">
        <v>19</v>
      </c>
      <c r="B4" s="8" t="s">
        <v>0</v>
      </c>
      <c r="C4" s="8" t="s">
        <v>1</v>
      </c>
      <c r="D4" s="8" t="s">
        <v>2</v>
      </c>
      <c r="E4" s="8" t="s">
        <v>14</v>
      </c>
      <c r="F4" s="8" t="s">
        <v>16</v>
      </c>
      <c r="G4" s="8" t="s">
        <v>15</v>
      </c>
      <c r="H4" s="8" t="s">
        <v>17</v>
      </c>
      <c r="I4" s="8" t="s">
        <v>5</v>
      </c>
      <c r="J4" s="8" t="s">
        <v>18</v>
      </c>
    </row>
    <row r="5" spans="1:10" ht="28.5" x14ac:dyDescent="0.2">
      <c r="A5" s="3" t="s">
        <v>4</v>
      </c>
      <c r="B5" s="1">
        <v>5.1355705261230398</v>
      </c>
      <c r="C5" s="1">
        <v>10.4278850555419</v>
      </c>
      <c r="D5" s="1">
        <v>0.50867402553558305</v>
      </c>
      <c r="E5" s="1">
        <f>B5-$B$2</f>
        <v>1.6402721405030185E-2</v>
      </c>
      <c r="F5" s="1">
        <f>(100/$B$2)*E5</f>
        <v>0.32041773254459149</v>
      </c>
      <c r="G5" s="1">
        <f>C5-$C$2</f>
        <v>-6.1054229737003141E-3</v>
      </c>
      <c r="H5" s="1">
        <f>(100/$C$2)*G5</f>
        <v>-5.851474549715046E-2</v>
      </c>
      <c r="I5" s="1">
        <f>D5-$D$2</f>
        <v>5.7548284530606342E-4</v>
      </c>
      <c r="J5" s="1">
        <f>(100/$D$2)*I5</f>
        <v>0.11326205390375663</v>
      </c>
    </row>
    <row r="6" spans="1:10" x14ac:dyDescent="0.2">
      <c r="A6" s="3" t="s">
        <v>6</v>
      </c>
      <c r="B6" s="1">
        <v>5.14418125152587</v>
      </c>
      <c r="C6" s="1">
        <v>10.4547004699707</v>
      </c>
      <c r="D6" s="1">
        <v>0.50614386796951205</v>
      </c>
      <c r="E6" s="1">
        <f t="shared" ref="E6:E14" si="0">B6-$B$2</f>
        <v>2.501344680786044E-2</v>
      </c>
      <c r="F6" s="1">
        <f>(100/$B$2)*E6</f>
        <v>0.48862330288933187</v>
      </c>
      <c r="G6" s="1">
        <f>C6-$C$2</f>
        <v>2.0709991455099441E-2</v>
      </c>
      <c r="H6" s="1">
        <f>(100/$C$2)*G6</f>
        <v>0.19848581899459206</v>
      </c>
      <c r="I6" s="1">
        <f>D6-$D$2</f>
        <v>-1.9546747207649373E-3</v>
      </c>
      <c r="J6" s="1">
        <f>(100/$D$2)*I6</f>
        <v>-0.38470386284033364</v>
      </c>
    </row>
    <row r="7" spans="1:10" x14ac:dyDescent="0.2">
      <c r="A7" s="3" t="s">
        <v>7</v>
      </c>
      <c r="B7" s="1">
        <v>5.1599621772766104</v>
      </c>
      <c r="C7" s="1">
        <v>10.435782432556101</v>
      </c>
      <c r="D7" s="1">
        <v>0.50792956352233798</v>
      </c>
      <c r="E7" s="1">
        <f t="shared" si="0"/>
        <v>4.0794372558600855E-2</v>
      </c>
      <c r="F7" s="1">
        <f>(100/$B$2)*E7</f>
        <v>0.79689461480444723</v>
      </c>
      <c r="G7" s="1">
        <f>C7-$C$2</f>
        <v>1.7919540405006984E-3</v>
      </c>
      <c r="H7" s="1">
        <f>(100/$C$2)*G7</f>
        <v>1.7174196623913656E-2</v>
      </c>
      <c r="I7" s="1">
        <f>D7-$D$2</f>
        <v>-1.6897916793900958E-4</v>
      </c>
      <c r="J7" s="1">
        <f>(100/$D$2)*I7</f>
        <v>-3.3257164455599446E-2</v>
      </c>
    </row>
    <row r="8" spans="1:10" x14ac:dyDescent="0.2">
      <c r="A8" s="3" t="s">
        <v>8</v>
      </c>
      <c r="B8" s="1">
        <v>5.1291379928588796</v>
      </c>
      <c r="C8" s="1">
        <v>10.4286680221557</v>
      </c>
      <c r="D8" s="1">
        <v>0.50860023498535101</v>
      </c>
      <c r="E8" s="1">
        <f t="shared" si="0"/>
        <v>9.9701881408700288E-3</v>
      </c>
      <c r="F8" s="1">
        <f>(100/$B$2)*E8</f>
        <v>0.19476189336245522</v>
      </c>
      <c r="G8" s="1">
        <f>C8-$C$2</f>
        <v>-5.3224563599005847E-3</v>
      </c>
      <c r="H8" s="1">
        <f>(100/$C$2)*G8</f>
        <v>-5.1010745801042638E-2</v>
      </c>
      <c r="I8" s="1">
        <f>D8-$D$2</f>
        <v>5.016922950740188E-4</v>
      </c>
      <c r="J8" s="1">
        <f>(100/$D$2)*I8</f>
        <v>9.8739172212079479E-2</v>
      </c>
    </row>
    <row r="9" spans="1:10" x14ac:dyDescent="0.2">
      <c r="A9" s="3" t="s">
        <v>9</v>
      </c>
      <c r="B9" s="1">
        <v>5.1324758529662997</v>
      </c>
      <c r="C9" s="1">
        <v>10.4474382400512</v>
      </c>
      <c r="D9" s="1">
        <v>0.50682973861694303</v>
      </c>
      <c r="E9" s="1">
        <f t="shared" si="0"/>
        <v>1.3308048248290127E-2</v>
      </c>
      <c r="F9" s="1">
        <f>(100/$B$2)*E9</f>
        <v>0.25996507158888116</v>
      </c>
      <c r="G9" s="1">
        <f>C9-$C$2</f>
        <v>1.3447761535600122E-2</v>
      </c>
      <c r="H9" s="1">
        <f>(100/$C$2)*G9</f>
        <v>0.12888416529888649</v>
      </c>
      <c r="I9" s="1">
        <f>D9-$D$2</f>
        <v>-1.2688040733339623E-3</v>
      </c>
      <c r="J9" s="1">
        <f>(100/$D$2)*I9</f>
        <v>-0.24971614100995179</v>
      </c>
    </row>
    <row r="10" spans="1:10" x14ac:dyDescent="0.2">
      <c r="A10" s="3" t="s">
        <v>10</v>
      </c>
      <c r="B10" s="1">
        <v>5.1431198120117099</v>
      </c>
      <c r="C10" s="1">
        <v>10.450531959533601</v>
      </c>
      <c r="D10" s="1">
        <v>0.50653761625289895</v>
      </c>
      <c r="E10" s="1">
        <f t="shared" si="0"/>
        <v>2.3952007293700284E-2</v>
      </c>
      <c r="F10" s="1">
        <f>(100/$B$2)*E10</f>
        <v>0.46788869221331741</v>
      </c>
      <c r="G10" s="1">
        <f>C10-$C$2</f>
        <v>1.6541481018000681E-2</v>
      </c>
      <c r="H10" s="1">
        <f>(100/$C$2)*G10</f>
        <v>0.15853456117351153</v>
      </c>
      <c r="I10" s="1">
        <f>D10-$D$2</f>
        <v>-1.5609264373780407E-3</v>
      </c>
      <c r="J10" s="1">
        <f>(100/$D$2)*I10</f>
        <v>-0.30720939074401926</v>
      </c>
    </row>
    <row r="11" spans="1:10" x14ac:dyDescent="0.2">
      <c r="A11" s="3" t="s">
        <v>11</v>
      </c>
      <c r="B11" s="1">
        <v>5.1432065963745099</v>
      </c>
      <c r="C11" s="1">
        <v>10.459994316101</v>
      </c>
      <c r="D11" s="1">
        <v>0.50564360618591297</v>
      </c>
      <c r="E11" s="1">
        <f t="shared" si="0"/>
        <v>2.4038791656500358E-2</v>
      </c>
      <c r="F11" s="1">
        <f>(100/$B$2)*E11</f>
        <v>0.46958397484734421</v>
      </c>
      <c r="G11" s="1">
        <f>C11-$C$2</f>
        <v>2.6003837585399481E-2</v>
      </c>
      <c r="H11" s="1">
        <f>(100/$C$2)*G11</f>
        <v>0.249222362613263</v>
      </c>
      <c r="I11" s="1">
        <f>D11-$D$2</f>
        <v>-2.4549365043640137E-3</v>
      </c>
      <c r="J11" s="1">
        <f>(100/$D$2)*I11</f>
        <v>-0.48316149291939137</v>
      </c>
    </row>
    <row r="12" spans="1:10" x14ac:dyDescent="0.2">
      <c r="A12" s="3" t="s">
        <v>12</v>
      </c>
      <c r="B12" s="1">
        <v>5.1179022789001403</v>
      </c>
      <c r="C12" s="1">
        <v>10.4352111816406</v>
      </c>
      <c r="D12" s="1">
        <v>0.50798344612121504</v>
      </c>
      <c r="E12" s="1">
        <f t="shared" si="0"/>
        <v>-1.2655258178693174E-3</v>
      </c>
      <c r="F12" s="1">
        <f>(100/$B$2)*E12</f>
        <v>-2.4721319287540511E-2</v>
      </c>
      <c r="G12" s="1">
        <f>C12-$C$2</f>
        <v>1.220703125E-3</v>
      </c>
      <c r="H12" s="1">
        <f>(100/$C$2)*G12</f>
        <v>1.1699293070216261E-2</v>
      </c>
      <c r="I12" s="1">
        <f>D12-$D$2</f>
        <v>-1.1509656906194543E-4</v>
      </c>
      <c r="J12" s="1">
        <f>(100/$D$2)*I12</f>
        <v>-2.2652410780895537E-2</v>
      </c>
    </row>
    <row r="13" spans="1:10" ht="42.75" x14ac:dyDescent="0.2">
      <c r="A13" s="3" t="s">
        <v>13</v>
      </c>
      <c r="B13" s="1">
        <v>5.1224961280822701</v>
      </c>
      <c r="C13" s="1">
        <v>10.4262266159057</v>
      </c>
      <c r="D13" s="1">
        <v>0.50883030891418402</v>
      </c>
      <c r="E13" s="1">
        <f t="shared" si="0"/>
        <v>3.328323364260477E-3</v>
      </c>
      <c r="F13" s="1">
        <f>(100/$B$2)*E13</f>
        <v>6.5016883431579922E-2</v>
      </c>
      <c r="G13" s="1">
        <f>C13-$C$2</f>
        <v>-7.7638626099005847E-3</v>
      </c>
      <c r="H13" s="1">
        <f>(100/$C$2)*G13</f>
        <v>-7.4409331941475157E-2</v>
      </c>
      <c r="I13" s="1">
        <f>D13-$D$2</f>
        <v>7.3176622390702661E-4</v>
      </c>
      <c r="J13" s="1">
        <f>(100/$D$2)*I13</f>
        <v>0.14402053192919534</v>
      </c>
    </row>
    <row r="21" spans="1:10" ht="15" x14ac:dyDescent="0.25">
      <c r="B21" s="8" t="s">
        <v>0</v>
      </c>
      <c r="C21" s="8" t="s">
        <v>1</v>
      </c>
      <c r="D21" s="8" t="s">
        <v>2</v>
      </c>
      <c r="E21" s="8" t="s">
        <v>14</v>
      </c>
      <c r="F21" s="8" t="s">
        <v>16</v>
      </c>
      <c r="G21" s="8" t="s">
        <v>15</v>
      </c>
      <c r="H21" s="8" t="s">
        <v>17</v>
      </c>
      <c r="I21" s="8" t="s">
        <v>5</v>
      </c>
      <c r="J21" s="8" t="s">
        <v>18</v>
      </c>
    </row>
    <row r="22" spans="1:10" ht="99.75" x14ac:dyDescent="0.2">
      <c r="A22" s="4" t="s">
        <v>20</v>
      </c>
      <c r="B22" s="1">
        <v>5.1002235412597603</v>
      </c>
      <c r="C22" s="1">
        <v>10.408082962036101</v>
      </c>
      <c r="D22" s="1">
        <v>0.51053828001022294</v>
      </c>
      <c r="E22" s="1">
        <f>B22-$B$2</f>
        <v>-1.8944263458249289E-2</v>
      </c>
      <c r="F22" s="1">
        <f>(100/$B$2)*E22</f>
        <v>-0.37006529539409849</v>
      </c>
      <c r="G22" s="1">
        <f>C22-$C$2</f>
        <v>-2.5907516479499293E-2</v>
      </c>
      <c r="H22" s="1">
        <f>(100/$C$2)*G22</f>
        <v>-0.24829921526998602</v>
      </c>
      <c r="I22" s="1">
        <f>D22-$D$2</f>
        <v>2.439737319945956E-3</v>
      </c>
      <c r="J22" s="1">
        <f>(100/$D$2)*I22</f>
        <v>0.48017010775666663</v>
      </c>
    </row>
  </sheetData>
  <conditionalFormatting sqref="E5:E13 E22">
    <cfRule type="cellIs" dxfId="7" priority="12" operator="greaterThan">
      <formula>0</formula>
    </cfRule>
  </conditionalFormatting>
  <conditionalFormatting sqref="I5:I13 I22">
    <cfRule type="cellIs" dxfId="6" priority="11" operator="greaterThan">
      <formula>0</formula>
    </cfRule>
  </conditionalFormatting>
  <conditionalFormatting sqref="F5:H13 F22:H22">
    <cfRule type="cellIs" dxfId="5" priority="9" operator="lessThan">
      <formula>0</formula>
    </cfRule>
    <cfRule type="cellIs" dxfId="4" priority="10" operator="greaterThan">
      <formula>0</formula>
    </cfRule>
  </conditionalFormatting>
  <conditionalFormatting sqref="I5:I13 I22">
    <cfRule type="cellIs" dxfId="3" priority="8" operator="lessThan">
      <formula>0</formula>
    </cfRule>
  </conditionalFormatting>
  <conditionalFormatting sqref="E5:E13 E22">
    <cfRule type="cellIs" dxfId="2" priority="7" operator="lessThan">
      <formula>0</formula>
    </cfRule>
  </conditionalFormatting>
  <conditionalFormatting sqref="J5:J13 J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Romano Burri</dc:creator>
  <cp:lastModifiedBy>Burri Romano (burrirom)</cp:lastModifiedBy>
  <dcterms:created xsi:type="dcterms:W3CDTF">2015-06-05T18:19:34Z</dcterms:created>
  <dcterms:modified xsi:type="dcterms:W3CDTF">2025-11-11T18:38:02Z</dcterms:modified>
</cp:coreProperties>
</file>