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mano Burri\Desktop\"/>
    </mc:Choice>
  </mc:AlternateContent>
  <xr:revisionPtr revIDLastSave="0" documentId="13_ncr:1_{EEB47040-E615-4441-9D57-07722F7C86C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F65" i="1" s="1"/>
  <c r="G65" i="1"/>
  <c r="H65" i="1"/>
  <c r="I65" i="1"/>
  <c r="J65" i="1" s="1"/>
  <c r="J64" i="1"/>
  <c r="I64" i="1"/>
  <c r="H64" i="1"/>
  <c r="G64" i="1"/>
  <c r="F64" i="1"/>
  <c r="E64" i="1"/>
  <c r="E53" i="1"/>
  <c r="F53" i="1"/>
  <c r="G53" i="1"/>
  <c r="H53" i="1"/>
  <c r="I53" i="1"/>
  <c r="J53" i="1" s="1"/>
  <c r="E54" i="1"/>
  <c r="F54" i="1" s="1"/>
  <c r="G54" i="1"/>
  <c r="H54" i="1" s="1"/>
  <c r="I54" i="1"/>
  <c r="J54" i="1" s="1"/>
  <c r="E55" i="1"/>
  <c r="F55" i="1" s="1"/>
  <c r="G55" i="1"/>
  <c r="H55" i="1" s="1"/>
  <c r="I55" i="1"/>
  <c r="J55" i="1" s="1"/>
  <c r="E56" i="1"/>
  <c r="F56" i="1"/>
  <c r="G56" i="1"/>
  <c r="H56" i="1" s="1"/>
  <c r="I56" i="1"/>
  <c r="J56" i="1"/>
  <c r="E57" i="1"/>
  <c r="F57" i="1"/>
  <c r="G57" i="1"/>
  <c r="H57" i="1" s="1"/>
  <c r="I57" i="1"/>
  <c r="J57" i="1" s="1"/>
  <c r="E52" i="1"/>
  <c r="F52" i="1"/>
  <c r="G52" i="1"/>
  <c r="H52" i="1"/>
  <c r="I52" i="1"/>
  <c r="J52" i="1" s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 s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J23" i="1"/>
  <c r="H23" i="1"/>
  <c r="F23" i="1"/>
  <c r="I23" i="1"/>
  <c r="G23" i="1"/>
  <c r="E23" i="1"/>
  <c r="I22" i="1"/>
  <c r="G22" i="1"/>
  <c r="E22" i="1"/>
  <c r="J22" i="1"/>
  <c r="H22" i="1"/>
  <c r="F22" i="1"/>
  <c r="J6" i="1"/>
  <c r="J8" i="1"/>
  <c r="H10" i="1"/>
  <c r="H11" i="1"/>
  <c r="H12" i="1"/>
  <c r="F12" i="1"/>
  <c r="I13" i="1"/>
  <c r="J13" i="1" s="1"/>
  <c r="G13" i="1"/>
  <c r="H13" i="1" s="1"/>
  <c r="E13" i="1"/>
  <c r="F13" i="1" s="1"/>
  <c r="I12" i="1"/>
  <c r="J12" i="1" s="1"/>
  <c r="G12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E5" i="1"/>
  <c r="F5" i="1" s="1"/>
  <c r="I11" i="1"/>
  <c r="J11" i="1" s="1"/>
  <c r="G11" i="1"/>
  <c r="G10" i="1"/>
  <c r="I10" i="1"/>
  <c r="J10" i="1" s="1"/>
  <c r="I9" i="1"/>
  <c r="J9" i="1" s="1"/>
  <c r="G9" i="1"/>
  <c r="H9" i="1" s="1"/>
  <c r="I8" i="1"/>
  <c r="G8" i="1"/>
  <c r="H8" i="1" s="1"/>
  <c r="I7" i="1"/>
  <c r="J7" i="1" s="1"/>
  <c r="G7" i="1"/>
  <c r="H7" i="1" s="1"/>
  <c r="I6" i="1"/>
  <c r="G6" i="1"/>
  <c r="H6" i="1" s="1"/>
  <c r="I5" i="1"/>
  <c r="J5" i="1" s="1"/>
  <c r="G5" i="1"/>
  <c r="H5" i="1" s="1"/>
</calcChain>
</file>

<file path=xl/sharedStrings.xml><?xml version="1.0" encoding="utf-8"?>
<sst xmlns="http://schemas.openxmlformats.org/spreadsheetml/2006/main" count="79" uniqueCount="59">
  <si>
    <t>MAE</t>
  </si>
  <si>
    <t>RMSE</t>
  </si>
  <si>
    <t>R^2</t>
  </si>
  <si>
    <t>Baseline</t>
  </si>
  <si>
    <t>wind_dir_sin', 'wind_dir_cos'</t>
  </si>
  <si>
    <t>ΔR^2</t>
  </si>
  <si>
    <t>is_wind_variable'</t>
  </si>
  <si>
    <t>is_holiday'</t>
  </si>
  <si>
    <t>scheduled_B'</t>
  </si>
  <si>
    <t>scheduled_D'</t>
  </si>
  <si>
    <t>scheduled_F'</t>
  </si>
  <si>
    <t>vis_ge_10km'</t>
  </si>
  <si>
    <t>scheduled_arrivals'</t>
  </si>
  <si>
    <t>wind_dir_sin', 'wind_dir_cos', 'scheduled_B'</t>
  </si>
  <si>
    <t>ΔMAE [min]</t>
  </si>
  <si>
    <t>ΔRMSE [min]</t>
  </si>
  <si>
    <t>ΔMAE [%]</t>
  </si>
  <si>
    <t>ΔRMSE [%]</t>
  </si>
  <si>
    <t>ΔR^2 [%]</t>
  </si>
  <si>
    <t>Entferntes Feature</t>
  </si>
  <si>
    <t>Neues Modell (V1.5), nachdem 'wind_dir_sin', 'wind_dir_cos', 'scheduled_B' aus den Features entfernt wurden und neue Hyperparameter definiert wurden UND RWY-Konzepte angepasst wurden (&lt;0.1% wird zusammengefasst in "other_concept")</t>
  </si>
  <si>
    <t>Neue Baseline</t>
  </si>
  <si>
    <t>Neues Modell (V1.5), nachdem 'wind_dir_sin', 'wind_dir_cos', 'scheduled_B' aus den Features entfernt wurden und neue Hyperparameter definiert wurden = Neue Baseline</t>
  </si>
  <si>
    <t>is_wind_variable</t>
  </si>
  <si>
    <t>vis_ge_10km</t>
  </si>
  <si>
    <t>wind_dir_sin</t>
  </si>
  <si>
    <t>scheduled_B</t>
  </si>
  <si>
    <t>day_of_week_cos</t>
  </si>
  <si>
    <t>month_sin</t>
  </si>
  <si>
    <t>scheduled_C</t>
  </si>
  <si>
    <t>wind_dir_cos</t>
  </si>
  <si>
    <t>is_holiday</t>
  </si>
  <si>
    <t>vis_category</t>
  </si>
  <si>
    <t>wind_speed_kt</t>
  </si>
  <si>
    <t>scheduled_arrivals</t>
  </si>
  <si>
    <t>scheduled_D</t>
  </si>
  <si>
    <t>scheduled_E</t>
  </si>
  <si>
    <t>scheduled_departures</t>
  </si>
  <si>
    <t>day_of_week_sin</t>
  </si>
  <si>
    <t>temperature_c</t>
  </si>
  <si>
    <t>minute_of_day_cos</t>
  </si>
  <si>
    <t>spread_c</t>
  </si>
  <si>
    <t>scheduled_F</t>
  </si>
  <si>
    <t>month_cos</t>
  </si>
  <si>
    <t>None</t>
  </si>
  <si>
    <t>arr_dep_ratio</t>
  </si>
  <si>
    <t>qnh_hpa</t>
  </si>
  <si>
    <t>minute_of_day_sin</t>
  </si>
  <si>
    <t>scheduled_rwy_concept</t>
  </si>
  <si>
    <t>avg_dep_delay_prev_slot_minutes</t>
  </si>
  <si>
    <t>avg_dep_delay_past_6h_minutes</t>
  </si>
  <si>
    <t>wind_dir_sin, wind_dir_cos, scheduled_B, is_wind_variable, vis_ge_10km, scheduled_departures</t>
  </si>
  <si>
    <t>wind_dir_sin, wind_dir_cos, scheduled_B, is_wind_variable, vis_ge_10km</t>
  </si>
  <si>
    <t>wind_dir_sin, wind_dir_cos, scheduled_B, is_wind_variable</t>
  </si>
  <si>
    <t>wind_dir_sin, wind_dir_cos, scheduled_B, is_wind_variable, vis_ge_10km, day_of_week_cos</t>
  </si>
  <si>
    <t>wind_dir_sin, scheduled_B, is_wind_variable, vis_ge_10km, day_of_week_cos</t>
  </si>
  <si>
    <t>wind_dir_sin, wind_dir_cos, scheduled_B, is_wind_variable, vis_ge_10km, scheduled_E, scheduled_F</t>
  </si>
  <si>
    <t>wind_dir_sin, wind_dir_cos, scheduled_B, is_wind_variable, vis_ge_10km, scheduled_E, scheduled_F, is_holiday</t>
  </si>
  <si>
    <t>Beste Resultate wurden so erzielt -&gt; So im Modell V1.6 implementiert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</si>
</sst>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CCCCCC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quotePrefix="1" applyFont="1" applyBorder="1" applyAlignment="1">
      <alignment wrapText="1"/>
    </xf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" fillId="3" borderId="0" xfId="0" applyFont="1" applyFill="1"/>
    <xf numFmtId="0" fontId="4" fillId="0" borderId="1" xfId="0" applyFont="1" applyFill="1" applyBorder="1" applyAlignment="1">
      <alignment wrapText="1"/>
    </xf>
    <xf numFmtId="0" fontId="1" fillId="4" borderId="0" xfId="0" applyFont="1" applyFill="1"/>
    <xf numFmtId="0" fontId="1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4" fillId="5" borderId="1" xfId="0" applyFont="1" applyFill="1" applyBorder="1"/>
    <xf numFmtId="0" fontId="4" fillId="0" borderId="1" xfId="0" applyFont="1" applyFill="1" applyBorder="1"/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/>
    <xf numFmtId="0" fontId="1" fillId="6" borderId="0" xfId="0" applyFont="1" applyFill="1"/>
    <xf numFmtId="0" fontId="1" fillId="6" borderId="1" xfId="0" applyFont="1" applyFill="1" applyBorder="1"/>
    <xf numFmtId="0" fontId="5" fillId="0" borderId="1" xfId="0" applyFont="1" applyBorder="1"/>
    <xf numFmtId="0" fontId="4" fillId="3" borderId="1" xfId="0" applyFont="1" applyFill="1" applyBorder="1"/>
  </cellXfs>
  <cellStyles count="1">
    <cellStyle name="Standard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topLeftCell="A21" zoomScale="70" zoomScaleNormal="70" workbookViewId="0">
      <selection activeCell="T52" sqref="T52"/>
    </sheetView>
  </sheetViews>
  <sheetFormatPr baseColWidth="10" defaultColWidth="9.140625" defaultRowHeight="14.25" x14ac:dyDescent="0.2"/>
  <cols>
    <col min="1" max="1" width="34.140625" style="2" bestFit="1" customWidth="1"/>
    <col min="2" max="4" width="14.140625" style="2" bestFit="1" customWidth="1"/>
    <col min="5" max="8" width="14.7109375" style="2" bestFit="1" customWidth="1"/>
    <col min="9" max="9" width="15" style="2" bestFit="1" customWidth="1"/>
    <col min="10" max="10" width="14.7109375" style="2" bestFit="1" customWidth="1"/>
    <col min="11" max="11" width="77.140625" style="2" bestFit="1" customWidth="1"/>
    <col min="12" max="16384" width="9.140625" style="2"/>
  </cols>
  <sheetData>
    <row r="1" spans="1:10" ht="15" x14ac:dyDescent="0.25">
      <c r="B1" s="7" t="s">
        <v>0</v>
      </c>
      <c r="C1" s="7" t="s">
        <v>1</v>
      </c>
      <c r="D1" s="7" t="s">
        <v>2</v>
      </c>
    </row>
    <row r="2" spans="1:10" x14ac:dyDescent="0.2">
      <c r="A2" s="4" t="s">
        <v>3</v>
      </c>
      <c r="B2" s="5">
        <v>5.1191678047180096</v>
      </c>
      <c r="C2" s="5">
        <v>10.4339904785156</v>
      </c>
      <c r="D2" s="5">
        <v>0.50809854269027699</v>
      </c>
    </row>
    <row r="4" spans="1:10" ht="15" x14ac:dyDescent="0.25">
      <c r="A4" s="6" t="s">
        <v>19</v>
      </c>
      <c r="B4" s="7" t="s">
        <v>0</v>
      </c>
      <c r="C4" s="7" t="s">
        <v>1</v>
      </c>
      <c r="D4" s="7" t="s">
        <v>2</v>
      </c>
      <c r="E4" s="7" t="s">
        <v>14</v>
      </c>
      <c r="F4" s="7" t="s">
        <v>16</v>
      </c>
      <c r="G4" s="7" t="s">
        <v>15</v>
      </c>
      <c r="H4" s="7" t="s">
        <v>17</v>
      </c>
      <c r="I4" s="7" t="s">
        <v>5</v>
      </c>
      <c r="J4" s="7" t="s">
        <v>18</v>
      </c>
    </row>
    <row r="5" spans="1:10" ht="28.5" x14ac:dyDescent="0.2">
      <c r="A5" s="3" t="s">
        <v>4</v>
      </c>
      <c r="B5" s="1">
        <v>5.1355705261230398</v>
      </c>
      <c r="C5" s="1">
        <v>10.4278850555419</v>
      </c>
      <c r="D5" s="1">
        <v>0.50867402553558305</v>
      </c>
      <c r="E5" s="1">
        <f>B5-$B$2</f>
        <v>1.6402721405030185E-2</v>
      </c>
      <c r="F5" s="1">
        <f t="shared" ref="F5:F14" si="0">(100/$B$2)*E5</f>
        <v>0.32041773254459149</v>
      </c>
      <c r="G5" s="1">
        <f t="shared" ref="G5:G14" si="1">C5-$C$2</f>
        <v>-6.1054229737003141E-3</v>
      </c>
      <c r="H5" s="1">
        <f t="shared" ref="H5:H14" si="2">(100/$C$2)*G5</f>
        <v>-5.851474549715046E-2</v>
      </c>
      <c r="I5" s="1">
        <f t="shared" ref="I5:I14" si="3">D5-$D$2</f>
        <v>5.7548284530606342E-4</v>
      </c>
      <c r="J5" s="1">
        <f t="shared" ref="J5:J14" si="4">(100/$D$2)*I5</f>
        <v>0.11326205390375663</v>
      </c>
    </row>
    <row r="6" spans="1:10" x14ac:dyDescent="0.2">
      <c r="A6" s="3" t="s">
        <v>6</v>
      </c>
      <c r="B6" s="1">
        <v>5.14418125152587</v>
      </c>
      <c r="C6" s="1">
        <v>10.4547004699707</v>
      </c>
      <c r="D6" s="1">
        <v>0.50614386796951205</v>
      </c>
      <c r="E6" s="1">
        <f t="shared" ref="E6:E14" si="5">B6-$B$2</f>
        <v>2.501344680786044E-2</v>
      </c>
      <c r="F6" s="1">
        <f t="shared" si="0"/>
        <v>0.48862330288933187</v>
      </c>
      <c r="G6" s="1">
        <f t="shared" si="1"/>
        <v>2.0709991455099441E-2</v>
      </c>
      <c r="H6" s="1">
        <f t="shared" si="2"/>
        <v>0.19848581899459206</v>
      </c>
      <c r="I6" s="1">
        <f t="shared" si="3"/>
        <v>-1.9546747207649373E-3</v>
      </c>
      <c r="J6" s="1">
        <f t="shared" si="4"/>
        <v>-0.38470386284033364</v>
      </c>
    </row>
    <row r="7" spans="1:10" x14ac:dyDescent="0.2">
      <c r="A7" s="3" t="s">
        <v>7</v>
      </c>
      <c r="B7" s="1">
        <v>5.1599621772766104</v>
      </c>
      <c r="C7" s="1">
        <v>10.435782432556101</v>
      </c>
      <c r="D7" s="1">
        <v>0.50792956352233798</v>
      </c>
      <c r="E7" s="1">
        <f t="shared" si="5"/>
        <v>4.0794372558600855E-2</v>
      </c>
      <c r="F7" s="1">
        <f t="shared" si="0"/>
        <v>0.79689461480444723</v>
      </c>
      <c r="G7" s="1">
        <f t="shared" si="1"/>
        <v>1.7919540405006984E-3</v>
      </c>
      <c r="H7" s="1">
        <f t="shared" si="2"/>
        <v>1.7174196623913656E-2</v>
      </c>
      <c r="I7" s="1">
        <f t="shared" si="3"/>
        <v>-1.6897916793900958E-4</v>
      </c>
      <c r="J7" s="1">
        <f t="shared" si="4"/>
        <v>-3.3257164455599446E-2</v>
      </c>
    </row>
    <row r="8" spans="1:10" x14ac:dyDescent="0.2">
      <c r="A8" s="3" t="s">
        <v>8</v>
      </c>
      <c r="B8" s="1">
        <v>5.1291379928588796</v>
      </c>
      <c r="C8" s="1">
        <v>10.4286680221557</v>
      </c>
      <c r="D8" s="1">
        <v>0.50860023498535101</v>
      </c>
      <c r="E8" s="1">
        <f t="shared" si="5"/>
        <v>9.9701881408700288E-3</v>
      </c>
      <c r="F8" s="1">
        <f t="shared" si="0"/>
        <v>0.19476189336245522</v>
      </c>
      <c r="G8" s="1">
        <f t="shared" si="1"/>
        <v>-5.3224563599005847E-3</v>
      </c>
      <c r="H8" s="1">
        <f t="shared" si="2"/>
        <v>-5.1010745801042638E-2</v>
      </c>
      <c r="I8" s="1">
        <f t="shared" si="3"/>
        <v>5.016922950740188E-4</v>
      </c>
      <c r="J8" s="1">
        <f t="shared" si="4"/>
        <v>9.8739172212079479E-2</v>
      </c>
    </row>
    <row r="9" spans="1:10" x14ac:dyDescent="0.2">
      <c r="A9" s="3" t="s">
        <v>9</v>
      </c>
      <c r="B9" s="1">
        <v>5.1324758529662997</v>
      </c>
      <c r="C9" s="1">
        <v>10.4474382400512</v>
      </c>
      <c r="D9" s="1">
        <v>0.50682973861694303</v>
      </c>
      <c r="E9" s="1">
        <f t="shared" si="5"/>
        <v>1.3308048248290127E-2</v>
      </c>
      <c r="F9" s="1">
        <f t="shared" si="0"/>
        <v>0.25996507158888116</v>
      </c>
      <c r="G9" s="1">
        <f t="shared" si="1"/>
        <v>1.3447761535600122E-2</v>
      </c>
      <c r="H9" s="1">
        <f t="shared" si="2"/>
        <v>0.12888416529888649</v>
      </c>
      <c r="I9" s="1">
        <f t="shared" si="3"/>
        <v>-1.2688040733339623E-3</v>
      </c>
      <c r="J9" s="1">
        <f t="shared" si="4"/>
        <v>-0.24971614100995179</v>
      </c>
    </row>
    <row r="10" spans="1:10" x14ac:dyDescent="0.2">
      <c r="A10" s="3" t="s">
        <v>10</v>
      </c>
      <c r="B10" s="1">
        <v>5.1431198120117099</v>
      </c>
      <c r="C10" s="1">
        <v>10.450531959533601</v>
      </c>
      <c r="D10" s="1">
        <v>0.50653761625289895</v>
      </c>
      <c r="E10" s="1">
        <f t="shared" si="5"/>
        <v>2.3952007293700284E-2</v>
      </c>
      <c r="F10" s="1">
        <f t="shared" si="0"/>
        <v>0.46788869221331741</v>
      </c>
      <c r="G10" s="1">
        <f t="shared" si="1"/>
        <v>1.6541481018000681E-2</v>
      </c>
      <c r="H10" s="1">
        <f t="shared" si="2"/>
        <v>0.15853456117351153</v>
      </c>
      <c r="I10" s="1">
        <f t="shared" si="3"/>
        <v>-1.5609264373780407E-3</v>
      </c>
      <c r="J10" s="1">
        <f t="shared" si="4"/>
        <v>-0.30720939074401926</v>
      </c>
    </row>
    <row r="11" spans="1:10" x14ac:dyDescent="0.2">
      <c r="A11" s="3" t="s">
        <v>11</v>
      </c>
      <c r="B11" s="1">
        <v>5.1432065963745099</v>
      </c>
      <c r="C11" s="1">
        <v>10.459994316101</v>
      </c>
      <c r="D11" s="1">
        <v>0.50564360618591297</v>
      </c>
      <c r="E11" s="1">
        <f t="shared" si="5"/>
        <v>2.4038791656500358E-2</v>
      </c>
      <c r="F11" s="1">
        <f t="shared" si="0"/>
        <v>0.46958397484734421</v>
      </c>
      <c r="G11" s="1">
        <f t="shared" si="1"/>
        <v>2.6003837585399481E-2</v>
      </c>
      <c r="H11" s="1">
        <f t="shared" si="2"/>
        <v>0.249222362613263</v>
      </c>
      <c r="I11" s="1">
        <f t="shared" si="3"/>
        <v>-2.4549365043640137E-3</v>
      </c>
      <c r="J11" s="1">
        <f t="shared" si="4"/>
        <v>-0.48316149291939137</v>
      </c>
    </row>
    <row r="12" spans="1:10" x14ac:dyDescent="0.2">
      <c r="A12" s="3" t="s">
        <v>12</v>
      </c>
      <c r="B12" s="1">
        <v>5.1179022789001403</v>
      </c>
      <c r="C12" s="1">
        <v>10.4352111816406</v>
      </c>
      <c r="D12" s="1">
        <v>0.50798344612121504</v>
      </c>
      <c r="E12" s="1">
        <f t="shared" si="5"/>
        <v>-1.2655258178693174E-3</v>
      </c>
      <c r="F12" s="1">
        <f t="shared" si="0"/>
        <v>-2.4721319287540511E-2</v>
      </c>
      <c r="G12" s="1">
        <f t="shared" si="1"/>
        <v>1.220703125E-3</v>
      </c>
      <c r="H12" s="1">
        <f t="shared" si="2"/>
        <v>1.1699293070216261E-2</v>
      </c>
      <c r="I12" s="1">
        <f t="shared" si="3"/>
        <v>-1.1509656906194543E-4</v>
      </c>
      <c r="J12" s="1">
        <f t="shared" si="4"/>
        <v>-2.2652410780895537E-2</v>
      </c>
    </row>
    <row r="13" spans="1:10" ht="42.75" x14ac:dyDescent="0.2">
      <c r="A13" s="3" t="s">
        <v>13</v>
      </c>
      <c r="B13" s="1">
        <v>5.1224961280822701</v>
      </c>
      <c r="C13" s="1">
        <v>10.4262266159057</v>
      </c>
      <c r="D13" s="1">
        <v>0.50883030891418402</v>
      </c>
      <c r="E13" s="1">
        <f t="shared" si="5"/>
        <v>3.328323364260477E-3</v>
      </c>
      <c r="F13" s="1">
        <f t="shared" si="0"/>
        <v>6.5016883431579922E-2</v>
      </c>
      <c r="G13" s="1">
        <f t="shared" si="1"/>
        <v>-7.7638626099005847E-3</v>
      </c>
      <c r="H13" s="1">
        <f t="shared" si="2"/>
        <v>-7.4409331941475157E-2</v>
      </c>
      <c r="I13" s="1">
        <f t="shared" si="3"/>
        <v>7.3176622390702661E-4</v>
      </c>
      <c r="J13" s="1">
        <f t="shared" si="4"/>
        <v>0.14402053192919534</v>
      </c>
    </row>
    <row r="14" spans="1:10" ht="15" x14ac:dyDescent="0.25">
      <c r="B14" s="8"/>
      <c r="C14" s="8"/>
    </row>
    <row r="18" spans="1:10" ht="15" x14ac:dyDescent="0.25">
      <c r="B18" s="7" t="s">
        <v>0</v>
      </c>
      <c r="C18" s="7" t="s">
        <v>1</v>
      </c>
      <c r="D18" s="7" t="s">
        <v>2</v>
      </c>
    </row>
    <row r="19" spans="1:10" x14ac:dyDescent="0.2">
      <c r="A19" s="15" t="s">
        <v>21</v>
      </c>
      <c r="B19" s="16">
        <v>5.1002235412597603</v>
      </c>
      <c r="C19" s="16">
        <v>10.408082962036101</v>
      </c>
      <c r="D19" s="16">
        <v>0.51053828001022294</v>
      </c>
    </row>
    <row r="21" spans="1:10" ht="15" x14ac:dyDescent="0.25">
      <c r="B21" s="7" t="s">
        <v>0</v>
      </c>
      <c r="C21" s="7" t="s">
        <v>1</v>
      </c>
      <c r="D21" s="7" t="s">
        <v>2</v>
      </c>
      <c r="E21" s="7" t="s">
        <v>14</v>
      </c>
      <c r="F21" s="7" t="s">
        <v>16</v>
      </c>
      <c r="G21" s="7" t="s">
        <v>15</v>
      </c>
      <c r="H21" s="7" t="s">
        <v>17</v>
      </c>
      <c r="I21" s="7" t="s">
        <v>5</v>
      </c>
      <c r="J21" s="7" t="s">
        <v>18</v>
      </c>
    </row>
    <row r="22" spans="1:10" ht="85.5" x14ac:dyDescent="0.2">
      <c r="A22" s="17" t="s">
        <v>22</v>
      </c>
      <c r="B22" s="18">
        <v>5.1002235412597603</v>
      </c>
      <c r="C22" s="18">
        <v>10.408082962036101</v>
      </c>
      <c r="D22" s="18">
        <v>0.51053828001022294</v>
      </c>
      <c r="E22" s="20">
        <f>B22-$B$19</f>
        <v>0</v>
      </c>
      <c r="F22" s="20">
        <f>(100/$B$2)*E22</f>
        <v>0</v>
      </c>
      <c r="G22" s="20">
        <f>C22-$C$19</f>
        <v>0</v>
      </c>
      <c r="H22" s="20">
        <f>(100/$C$2)*G22</f>
        <v>0</v>
      </c>
      <c r="I22" s="20">
        <f>D22-$D$19</f>
        <v>0</v>
      </c>
      <c r="J22" s="20">
        <f>(100/$D$2)*I22</f>
        <v>0</v>
      </c>
    </row>
    <row r="23" spans="1:10" ht="128.25" x14ac:dyDescent="0.2">
      <c r="A23" s="14" t="s">
        <v>20</v>
      </c>
      <c r="B23" s="9">
        <v>5.0931701660156197</v>
      </c>
      <c r="C23" s="9">
        <v>10.3985786437988</v>
      </c>
      <c r="D23" s="9">
        <v>0.51143181324005105</v>
      </c>
      <c r="E23" s="9">
        <f>B23-$B$19</f>
        <v>-7.053375244140625E-3</v>
      </c>
      <c r="F23" s="9">
        <f>(100/$B$19)*E23</f>
        <v>-0.13829541366334766</v>
      </c>
      <c r="G23" s="9">
        <f>C23-$C$19</f>
        <v>-9.5043182373011348E-3</v>
      </c>
      <c r="H23" s="9">
        <f>(100/$C$19)*G23</f>
        <v>-9.1316703296548618E-2</v>
      </c>
      <c r="I23" s="9">
        <f>D23-$D$19</f>
        <v>8.935332298281029E-4</v>
      </c>
      <c r="J23" s="9">
        <f>(100/$D$19)*I23</f>
        <v>0.17501787129658739</v>
      </c>
    </row>
    <row r="24" spans="1:10" x14ac:dyDescent="0.2">
      <c r="A24" s="9" t="s">
        <v>23</v>
      </c>
      <c r="B24" s="9">
        <v>5.1009637261307494</v>
      </c>
      <c r="C24" s="9">
        <v>10.3837481285581</v>
      </c>
      <c r="D24" s="9">
        <v>0.51282439024465876</v>
      </c>
      <c r="E24" s="9">
        <f t="shared" ref="E24:E51" si="6">B24-$B$19</f>
        <v>7.4018487098914676E-4</v>
      </c>
      <c r="F24" s="9">
        <f t="shared" ref="F24:F66" si="7">(100/$B$19)*E24</f>
        <v>1.4512792723715015E-2</v>
      </c>
      <c r="G24" s="9">
        <f t="shared" ref="G24:G51" si="8">C24-$C$19</f>
        <v>-2.4334833478000917E-2</v>
      </c>
      <c r="H24" s="9">
        <f t="shared" ref="H24:H66" si="9">(100/$C$19)*G24</f>
        <v>-0.23380706674575133</v>
      </c>
      <c r="I24" s="9">
        <f t="shared" ref="I24:I51" si="10">D24-$D$19</f>
        <v>2.286110234435812E-3</v>
      </c>
      <c r="J24" s="9">
        <f t="shared" ref="J24:J66" si="11">(100/$D$19)*I24</f>
        <v>0.4477842943314721</v>
      </c>
    </row>
    <row r="25" spans="1:10" x14ac:dyDescent="0.2">
      <c r="A25" s="9" t="s">
        <v>24</v>
      </c>
      <c r="B25" s="9">
        <v>5.108258462504164</v>
      </c>
      <c r="C25" s="9">
        <v>10.39908072886886</v>
      </c>
      <c r="D25" s="9">
        <v>0.51138460498516669</v>
      </c>
      <c r="E25" s="9">
        <f t="shared" si="6"/>
        <v>8.0349212444037477E-3</v>
      </c>
      <c r="F25" s="9">
        <f t="shared" si="7"/>
        <v>0.15754057012213063</v>
      </c>
      <c r="G25" s="9">
        <f t="shared" si="8"/>
        <v>-9.0022331672408029E-3</v>
      </c>
      <c r="H25" s="9">
        <f t="shared" si="9"/>
        <v>-8.6492711482765938E-2</v>
      </c>
      <c r="I25" s="9">
        <f t="shared" si="10"/>
        <v>8.4632497494374626E-4</v>
      </c>
      <c r="J25" s="9">
        <f t="shared" si="11"/>
        <v>0.16577111023424132</v>
      </c>
    </row>
    <row r="26" spans="1:10" x14ac:dyDescent="0.2">
      <c r="A26" s="9" t="s">
        <v>25</v>
      </c>
      <c r="B26" s="9">
        <v>5.1218488030823099</v>
      </c>
      <c r="C26" s="9">
        <v>10.399245211504111</v>
      </c>
      <c r="D26" s="9">
        <v>0.51136914796824573</v>
      </c>
      <c r="E26" s="9">
        <f t="shared" si="6"/>
        <v>2.1625261822549646E-2</v>
      </c>
      <c r="F26" s="9">
        <f t="shared" si="7"/>
        <v>0.42400615674206671</v>
      </c>
      <c r="G26" s="9">
        <f t="shared" si="8"/>
        <v>-8.8377505319900962E-3</v>
      </c>
      <c r="H26" s="9">
        <f t="shared" si="9"/>
        <v>-8.4912375931534612E-2</v>
      </c>
      <c r="I26" s="9">
        <f t="shared" si="10"/>
        <v>8.3086795802278512E-4</v>
      </c>
      <c r="J26" s="9">
        <f t="shared" si="11"/>
        <v>0.1627435180778507</v>
      </c>
    </row>
    <row r="27" spans="1:10" x14ac:dyDescent="0.2">
      <c r="A27" s="9" t="s">
        <v>26</v>
      </c>
      <c r="B27" s="9">
        <v>5.1073745763247684</v>
      </c>
      <c r="C27" s="9">
        <v>10.401088270739249</v>
      </c>
      <c r="D27" s="9">
        <v>0.51119593243372496</v>
      </c>
      <c r="E27" s="9">
        <f t="shared" si="6"/>
        <v>7.1510350650081378E-3</v>
      </c>
      <c r="F27" s="9">
        <f t="shared" si="7"/>
        <v>0.14021022818230874</v>
      </c>
      <c r="G27" s="9">
        <f t="shared" si="8"/>
        <v>-6.9946912968514852E-3</v>
      </c>
      <c r="H27" s="9">
        <f t="shared" si="9"/>
        <v>-6.7204415283437902E-2</v>
      </c>
      <c r="I27" s="9">
        <f t="shared" si="10"/>
        <v>6.576524235020198E-4</v>
      </c>
      <c r="J27" s="9">
        <f t="shared" si="11"/>
        <v>0.12881549714329962</v>
      </c>
    </row>
    <row r="28" spans="1:10" x14ac:dyDescent="0.2">
      <c r="A28" s="9" t="s">
        <v>27</v>
      </c>
      <c r="B28" s="9">
        <v>5.1111898685866999</v>
      </c>
      <c r="C28" s="9">
        <v>10.401098135735291</v>
      </c>
      <c r="D28" s="9">
        <v>0.51119500521296624</v>
      </c>
      <c r="E28" s="9">
        <f t="shared" si="6"/>
        <v>1.0966327326939584E-2</v>
      </c>
      <c r="F28" s="9">
        <f t="shared" si="7"/>
        <v>0.21501660149254734</v>
      </c>
      <c r="G28" s="9">
        <f t="shared" si="8"/>
        <v>-6.9848263008100986E-3</v>
      </c>
      <c r="H28" s="9">
        <f t="shared" si="9"/>
        <v>-6.7109633217639908E-2</v>
      </c>
      <c r="I28" s="9">
        <f t="shared" si="10"/>
        <v>6.5672520274329127E-4</v>
      </c>
      <c r="J28" s="9">
        <f t="shared" si="11"/>
        <v>0.12863388083850266</v>
      </c>
    </row>
    <row r="29" spans="1:10" x14ac:dyDescent="0.2">
      <c r="A29" s="9" t="s">
        <v>28</v>
      </c>
      <c r="B29" s="9">
        <v>5.1041895095030316</v>
      </c>
      <c r="C29" s="9">
        <v>10.40131837221748</v>
      </c>
      <c r="D29" s="9">
        <v>0.51117430473867809</v>
      </c>
      <c r="E29" s="9">
        <f t="shared" si="6"/>
        <v>3.9659682432713339E-3</v>
      </c>
      <c r="F29" s="9">
        <f t="shared" si="7"/>
        <v>7.7760674825082976E-2</v>
      </c>
      <c r="G29" s="9">
        <f t="shared" si="8"/>
        <v>-6.7645898186210474E-3</v>
      </c>
      <c r="H29" s="9">
        <f t="shared" si="9"/>
        <v>-6.4993619317747178E-2</v>
      </c>
      <c r="I29" s="9">
        <f t="shared" si="10"/>
        <v>6.3602472845514235E-4</v>
      </c>
      <c r="J29" s="9">
        <f t="shared" si="11"/>
        <v>0.12457924378215218</v>
      </c>
    </row>
    <row r="30" spans="1:10" x14ac:dyDescent="0.2">
      <c r="A30" s="9" t="s">
        <v>29</v>
      </c>
      <c r="B30" s="9">
        <v>5.1111009168206749</v>
      </c>
      <c r="C30" s="9">
        <v>10.4064522951104</v>
      </c>
      <c r="D30" s="9">
        <v>0.51069163269939821</v>
      </c>
      <c r="E30" s="9">
        <f t="shared" si="6"/>
        <v>1.0877375560914615E-2</v>
      </c>
      <c r="F30" s="9">
        <f t="shared" si="7"/>
        <v>0.21327252566321617</v>
      </c>
      <c r="G30" s="9">
        <f t="shared" si="8"/>
        <v>-1.6306669257009077E-3</v>
      </c>
      <c r="H30" s="9">
        <f t="shared" si="9"/>
        <v>-1.5667312911021469E-2</v>
      </c>
      <c r="I30" s="9">
        <f t="shared" si="10"/>
        <v>1.533526891752679E-4</v>
      </c>
      <c r="J30" s="9">
        <f t="shared" si="11"/>
        <v>3.0037451681820447E-2</v>
      </c>
    </row>
    <row r="31" spans="1:10" x14ac:dyDescent="0.2">
      <c r="A31" s="9" t="s">
        <v>30</v>
      </c>
      <c r="B31" s="9">
        <v>5.1055620629936707</v>
      </c>
      <c r="C31" s="9">
        <v>10.40791771912976</v>
      </c>
      <c r="D31" s="9">
        <v>0.51055381537210287</v>
      </c>
      <c r="E31" s="9">
        <f t="shared" si="6"/>
        <v>5.3385217339103619E-3</v>
      </c>
      <c r="F31" s="9">
        <f t="shared" si="7"/>
        <v>0.10467230878652314</v>
      </c>
      <c r="G31" s="9">
        <f t="shared" si="8"/>
        <v>-1.6524290634123417E-4</v>
      </c>
      <c r="H31" s="9">
        <f t="shared" si="9"/>
        <v>-1.5876401729690694E-3</v>
      </c>
      <c r="I31" s="9">
        <f t="shared" si="10"/>
        <v>1.553536187992588E-5</v>
      </c>
      <c r="J31" s="9">
        <f t="shared" si="11"/>
        <v>3.0429377165635458E-3</v>
      </c>
    </row>
    <row r="32" spans="1:10" x14ac:dyDescent="0.2">
      <c r="A32" s="9" t="s">
        <v>31</v>
      </c>
      <c r="B32" s="9">
        <v>5.1182335480941763</v>
      </c>
      <c r="C32" s="9">
        <v>10.409326509900239</v>
      </c>
      <c r="D32" s="9">
        <v>0.51042130588220536</v>
      </c>
      <c r="E32" s="9">
        <f t="shared" si="6"/>
        <v>1.8010006834416004E-2</v>
      </c>
      <c r="F32" s="9">
        <f t="shared" si="7"/>
        <v>0.35312191100485596</v>
      </c>
      <c r="G32" s="9">
        <f t="shared" si="8"/>
        <v>1.2435478641386055E-3</v>
      </c>
      <c r="H32" s="9">
        <f t="shared" si="9"/>
        <v>1.194790499532427E-2</v>
      </c>
      <c r="I32" s="9">
        <f t="shared" si="10"/>
        <v>-1.1697412801758844E-4</v>
      </c>
      <c r="J32" s="9">
        <f t="shared" si="11"/>
        <v>-2.2911921122789496E-2</v>
      </c>
    </row>
    <row r="33" spans="1:10" x14ac:dyDescent="0.2">
      <c r="A33" s="9" t="s">
        <v>32</v>
      </c>
      <c r="B33" s="9">
        <v>5.1205202537739769</v>
      </c>
      <c r="C33" s="9">
        <v>10.409943178056769</v>
      </c>
      <c r="D33" s="9">
        <v>0.51036329703153127</v>
      </c>
      <c r="E33" s="9">
        <f t="shared" si="6"/>
        <v>2.0296712514216608E-2</v>
      </c>
      <c r="F33" s="9">
        <f t="shared" si="7"/>
        <v>0.3979573120672138</v>
      </c>
      <c r="G33" s="9">
        <f t="shared" si="8"/>
        <v>1.8602160206686591E-3</v>
      </c>
      <c r="H33" s="9">
        <f t="shared" si="9"/>
        <v>1.7872801624025016E-2</v>
      </c>
      <c r="I33" s="9">
        <f t="shared" si="10"/>
        <v>-1.7498297869167345E-4</v>
      </c>
      <c r="J33" s="9">
        <f t="shared" si="11"/>
        <v>-3.4274213226120794E-2</v>
      </c>
    </row>
    <row r="34" spans="1:10" x14ac:dyDescent="0.2">
      <c r="A34" s="9" t="s">
        <v>33</v>
      </c>
      <c r="B34" s="9">
        <v>5.110065016063321</v>
      </c>
      <c r="C34" s="9">
        <v>10.41073686099873</v>
      </c>
      <c r="D34" s="9">
        <v>0.51028863166461291</v>
      </c>
      <c r="E34" s="9">
        <f t="shared" si="6"/>
        <v>9.8414748035606792E-3</v>
      </c>
      <c r="F34" s="9">
        <f t="shared" si="7"/>
        <v>0.19296163636642924</v>
      </c>
      <c r="G34" s="9">
        <f t="shared" si="8"/>
        <v>2.653898962629242E-3</v>
      </c>
      <c r="H34" s="9">
        <f t="shared" si="9"/>
        <v>2.5498441666053633E-2</v>
      </c>
      <c r="I34" s="9">
        <f t="shared" si="10"/>
        <v>-2.496483456100318E-4</v>
      </c>
      <c r="J34" s="9">
        <f t="shared" si="11"/>
        <v>-4.8899045455520568E-2</v>
      </c>
    </row>
    <row r="35" spans="1:10" x14ac:dyDescent="0.2">
      <c r="A35" s="9" t="s">
        <v>34</v>
      </c>
      <c r="B35" s="9">
        <v>5.1205651434146597</v>
      </c>
      <c r="C35" s="9">
        <v>10.410975675103611</v>
      </c>
      <c r="D35" s="9">
        <v>0.5102661642206634</v>
      </c>
      <c r="E35" s="9">
        <f t="shared" si="6"/>
        <v>2.0341602154899441E-2</v>
      </c>
      <c r="F35" s="9">
        <f t="shared" si="7"/>
        <v>0.39883746252179064</v>
      </c>
      <c r="G35" s="9">
        <f t="shared" si="8"/>
        <v>2.8927130675100443E-3</v>
      </c>
      <c r="H35" s="9">
        <f t="shared" si="9"/>
        <v>2.7792947827773196E-2</v>
      </c>
      <c r="I35" s="9">
        <f t="shared" si="10"/>
        <v>-2.7211578955954607E-4</v>
      </c>
      <c r="J35" s="9">
        <f t="shared" si="11"/>
        <v>-5.329978186045075E-2</v>
      </c>
    </row>
    <row r="36" spans="1:10" x14ac:dyDescent="0.2">
      <c r="A36" s="9" t="s">
        <v>35</v>
      </c>
      <c r="B36" s="9">
        <v>5.1069062324046373</v>
      </c>
      <c r="C36" s="9">
        <v>10.41150187566708</v>
      </c>
      <c r="D36" s="9">
        <v>0.51021665786491277</v>
      </c>
      <c r="E36" s="9">
        <f t="shared" si="6"/>
        <v>6.6826911448769621E-3</v>
      </c>
      <c r="F36" s="9">
        <f t="shared" si="7"/>
        <v>0.13102741655959516</v>
      </c>
      <c r="G36" s="9">
        <f t="shared" si="8"/>
        <v>3.4189136309787926E-3</v>
      </c>
      <c r="H36" s="9">
        <f t="shared" si="9"/>
        <v>3.2848639307059876E-2</v>
      </c>
      <c r="I36" s="9">
        <f t="shared" si="10"/>
        <v>-3.2162214531017419E-4</v>
      </c>
      <c r="J36" s="9">
        <f t="shared" si="11"/>
        <v>-6.2996675842550739E-2</v>
      </c>
    </row>
    <row r="37" spans="1:10" x14ac:dyDescent="0.2">
      <c r="A37" s="9" t="s">
        <v>36</v>
      </c>
      <c r="B37" s="9">
        <v>5.1055299035993702</v>
      </c>
      <c r="C37" s="9">
        <v>10.411753376416391</v>
      </c>
      <c r="D37" s="9">
        <v>0.51019299511830796</v>
      </c>
      <c r="E37" s="9">
        <f t="shared" si="6"/>
        <v>5.3063623396099047E-3</v>
      </c>
      <c r="F37" s="9">
        <f t="shared" si="7"/>
        <v>0.10404176006566229</v>
      </c>
      <c r="G37" s="9">
        <f t="shared" si="8"/>
        <v>3.6704143802896994E-3</v>
      </c>
      <c r="H37" s="9">
        <f t="shared" si="9"/>
        <v>3.5265037698850817E-2</v>
      </c>
      <c r="I37" s="9">
        <f t="shared" si="10"/>
        <v>-3.4528489191498757E-4</v>
      </c>
      <c r="J37" s="9">
        <f t="shared" si="11"/>
        <v>-6.7631538208667463E-2</v>
      </c>
    </row>
    <row r="38" spans="1:10" x14ac:dyDescent="0.2">
      <c r="A38" s="9" t="s">
        <v>37</v>
      </c>
      <c r="B38" s="9">
        <v>5.1145279274413857</v>
      </c>
      <c r="C38" s="9">
        <v>10.413382747604761</v>
      </c>
      <c r="D38" s="9">
        <v>0.51003967994847965</v>
      </c>
      <c r="E38" s="9">
        <f t="shared" si="6"/>
        <v>1.4304386181625439E-2</v>
      </c>
      <c r="F38" s="9">
        <f t="shared" si="7"/>
        <v>0.28046586715083943</v>
      </c>
      <c r="G38" s="9">
        <f t="shared" si="8"/>
        <v>5.2997855686598427E-3</v>
      </c>
      <c r="H38" s="9">
        <f t="shared" si="9"/>
        <v>5.0919901272799446E-2</v>
      </c>
      <c r="I38" s="9">
        <f t="shared" si="10"/>
        <v>-4.9860006174329285E-4</v>
      </c>
      <c r="J38" s="9">
        <f t="shared" si="11"/>
        <v>-9.7661640912275763E-2</v>
      </c>
    </row>
    <row r="39" spans="1:10" x14ac:dyDescent="0.2">
      <c r="A39" s="9" t="s">
        <v>38</v>
      </c>
      <c r="B39" s="9">
        <v>5.1232587272733827</v>
      </c>
      <c r="C39" s="9">
        <v>10.414105462198769</v>
      </c>
      <c r="D39" s="9">
        <v>0.50997166866528154</v>
      </c>
      <c r="E39" s="9">
        <f t="shared" si="6"/>
        <v>2.3035186013622422E-2</v>
      </c>
      <c r="F39" s="9">
        <f t="shared" si="7"/>
        <v>0.45165051741894252</v>
      </c>
      <c r="G39" s="9">
        <f t="shared" si="8"/>
        <v>6.022500162668365E-3</v>
      </c>
      <c r="H39" s="9">
        <f t="shared" si="9"/>
        <v>5.7863683299178875E-2</v>
      </c>
      <c r="I39" s="9">
        <f t="shared" si="10"/>
        <v>-5.6661134494140342E-4</v>
      </c>
      <c r="J39" s="9">
        <f t="shared" si="11"/>
        <v>-0.11098312646214456</v>
      </c>
    </row>
    <row r="40" spans="1:10" x14ac:dyDescent="0.2">
      <c r="A40" s="9" t="s">
        <v>39</v>
      </c>
      <c r="B40" s="9">
        <v>5.1196273642637973</v>
      </c>
      <c r="C40" s="9">
        <v>10.415245834344059</v>
      </c>
      <c r="D40" s="9">
        <v>0.50986434398774161</v>
      </c>
      <c r="E40" s="9">
        <f t="shared" si="6"/>
        <v>1.940382300403698E-2</v>
      </c>
      <c r="F40" s="9">
        <f t="shared" si="7"/>
        <v>0.3804504419671812</v>
      </c>
      <c r="G40" s="9">
        <f t="shared" si="8"/>
        <v>7.1628723079584233E-3</v>
      </c>
      <c r="H40" s="9">
        <f t="shared" si="9"/>
        <v>6.8820284523915573E-2</v>
      </c>
      <c r="I40" s="9">
        <f t="shared" si="10"/>
        <v>-6.7393602248133622E-4</v>
      </c>
      <c r="J40" s="9">
        <f t="shared" si="11"/>
        <v>-0.1320049933313211</v>
      </c>
    </row>
    <row r="41" spans="1:10" x14ac:dyDescent="0.2">
      <c r="A41" s="9" t="s">
        <v>40</v>
      </c>
      <c r="B41" s="9">
        <v>5.1482960832668008</v>
      </c>
      <c r="C41" s="9">
        <v>10.417117452282939</v>
      </c>
      <c r="D41" s="9">
        <v>0.50968817356903151</v>
      </c>
      <c r="E41" s="9">
        <f t="shared" si="6"/>
        <v>4.8072542007040475E-2</v>
      </c>
      <c r="F41" s="9">
        <f t="shared" si="7"/>
        <v>0.94255754905924194</v>
      </c>
      <c r="G41" s="9">
        <f t="shared" si="8"/>
        <v>9.0344902468384447E-3</v>
      </c>
      <c r="H41" s="9">
        <f t="shared" si="9"/>
        <v>8.6802634834792433E-2</v>
      </c>
      <c r="I41" s="9">
        <f t="shared" si="10"/>
        <v>-8.5010644119143386E-4</v>
      </c>
      <c r="J41" s="9">
        <f t="shared" si="11"/>
        <v>-0.16651179245058989</v>
      </c>
    </row>
    <row r="42" spans="1:10" x14ac:dyDescent="0.2">
      <c r="A42" s="9" t="s">
        <v>41</v>
      </c>
      <c r="B42" s="9">
        <v>5.123602121383442</v>
      </c>
      <c r="C42" s="9">
        <v>10.418109500958749</v>
      </c>
      <c r="D42" s="9">
        <v>0.50959478182960671</v>
      </c>
      <c r="E42" s="9">
        <f t="shared" si="6"/>
        <v>2.3378580123681658E-2</v>
      </c>
      <c r="F42" s="9">
        <f t="shared" si="7"/>
        <v>0.45838344014833365</v>
      </c>
      <c r="G42" s="9">
        <f t="shared" si="8"/>
        <v>1.0026538922648598E-2</v>
      </c>
      <c r="H42" s="9">
        <f t="shared" si="9"/>
        <v>9.633415643611605E-2</v>
      </c>
      <c r="I42" s="9">
        <f t="shared" si="10"/>
        <v>-9.4349818061623125E-4</v>
      </c>
      <c r="J42" s="9">
        <f t="shared" si="11"/>
        <v>-0.18480459106755692</v>
      </c>
    </row>
    <row r="43" spans="1:10" x14ac:dyDescent="0.2">
      <c r="A43" s="9" t="s">
        <v>42</v>
      </c>
      <c r="B43" s="9">
        <v>5.1189921340778213</v>
      </c>
      <c r="C43" s="9">
        <v>10.419544463925311</v>
      </c>
      <c r="D43" s="9">
        <v>0.50945967827930816</v>
      </c>
      <c r="E43" s="9">
        <f t="shared" si="6"/>
        <v>1.8768592818060981E-2</v>
      </c>
      <c r="F43" s="9">
        <f t="shared" si="7"/>
        <v>0.36799549404505355</v>
      </c>
      <c r="G43" s="9">
        <f t="shared" si="8"/>
        <v>1.1461501889209913E-2</v>
      </c>
      <c r="H43" s="9">
        <f t="shared" si="9"/>
        <v>0.11012116189903751</v>
      </c>
      <c r="I43" s="9">
        <f t="shared" si="10"/>
        <v>-1.0786017309147855E-3</v>
      </c>
      <c r="J43" s="9">
        <f t="shared" si="11"/>
        <v>-0.21126755292339447</v>
      </c>
    </row>
    <row r="44" spans="1:10" x14ac:dyDescent="0.2">
      <c r="A44" s="9" t="s">
        <v>43</v>
      </c>
      <c r="B44" s="9">
        <v>5.0814256674856262</v>
      </c>
      <c r="C44" s="9">
        <v>10.419746627265759</v>
      </c>
      <c r="D44" s="9">
        <v>0.50944064285362978</v>
      </c>
      <c r="E44" s="9">
        <f t="shared" si="6"/>
        <v>-1.8797873774134111E-2</v>
      </c>
      <c r="F44" s="9">
        <f t="shared" si="7"/>
        <v>-0.36856960527441934</v>
      </c>
      <c r="G44" s="9">
        <f t="shared" si="8"/>
        <v>1.1663665229658449E-2</v>
      </c>
      <c r="H44" s="9">
        <f t="shared" si="9"/>
        <v>0.11206353054834531</v>
      </c>
      <c r="I44" s="9">
        <f t="shared" si="10"/>
        <v>-1.0976371565931675E-3</v>
      </c>
      <c r="J44" s="9">
        <f t="shared" si="11"/>
        <v>-0.21499605408064379</v>
      </c>
    </row>
    <row r="45" spans="1:10" x14ac:dyDescent="0.2">
      <c r="A45" s="9" t="s">
        <v>44</v>
      </c>
      <c r="B45" s="9">
        <v>5.1212003743301997</v>
      </c>
      <c r="C45" s="9">
        <v>10.420906951818599</v>
      </c>
      <c r="D45" s="9">
        <v>0.50933138112585219</v>
      </c>
      <c r="E45" s="9">
        <f t="shared" si="6"/>
        <v>2.0976833070439405E-2</v>
      </c>
      <c r="F45" s="9">
        <f t="shared" si="7"/>
        <v>0.41129242474846711</v>
      </c>
      <c r="G45" s="9">
        <f t="shared" si="8"/>
        <v>1.2823989782498657E-2</v>
      </c>
      <c r="H45" s="9">
        <f t="shared" si="9"/>
        <v>0.12321183285408729</v>
      </c>
      <c r="I45" s="9">
        <f t="shared" si="10"/>
        <v>-1.2068988843707551E-3</v>
      </c>
      <c r="J45" s="9">
        <f t="shared" si="11"/>
        <v>-0.23639733426974141</v>
      </c>
    </row>
    <row r="46" spans="1:10" x14ac:dyDescent="0.2">
      <c r="A46" s="9" t="s">
        <v>45</v>
      </c>
      <c r="B46" s="9">
        <v>5.1179771450683029</v>
      </c>
      <c r="C46" s="9">
        <v>10.421144622903061</v>
      </c>
      <c r="D46" s="9">
        <v>0.5093089993747949</v>
      </c>
      <c r="E46" s="9">
        <f t="shared" si="6"/>
        <v>1.7753603808542628E-2</v>
      </c>
      <c r="F46" s="9">
        <f t="shared" si="7"/>
        <v>0.34809462104787409</v>
      </c>
      <c r="G46" s="9">
        <f t="shared" si="8"/>
        <v>1.3061660866959812E-2</v>
      </c>
      <c r="H46" s="9">
        <f t="shared" si="9"/>
        <v>0.12549535697018119</v>
      </c>
      <c r="I46" s="9">
        <f t="shared" si="10"/>
        <v>-1.2292806354280428E-3</v>
      </c>
      <c r="J46" s="9">
        <f t="shared" si="11"/>
        <v>-0.240781285862331</v>
      </c>
    </row>
    <row r="47" spans="1:10" x14ac:dyDescent="0.2">
      <c r="A47" s="9" t="s">
        <v>46</v>
      </c>
      <c r="B47" s="9">
        <v>5.1242547513805023</v>
      </c>
      <c r="C47" s="9">
        <v>10.42680949296075</v>
      </c>
      <c r="D47" s="9">
        <v>0.50877538116456211</v>
      </c>
      <c r="E47" s="9">
        <f t="shared" si="6"/>
        <v>2.4031210120742053E-2</v>
      </c>
      <c r="F47" s="9">
        <f t="shared" si="7"/>
        <v>0.47117954588332256</v>
      </c>
      <c r="G47" s="9">
        <f t="shared" si="8"/>
        <v>1.8726530924649154E-2</v>
      </c>
      <c r="H47" s="9">
        <f t="shared" si="9"/>
        <v>0.17992295980878445</v>
      </c>
      <c r="I47" s="9">
        <f t="shared" si="10"/>
        <v>-1.7628988456608319E-3</v>
      </c>
      <c r="J47" s="9">
        <f t="shared" si="11"/>
        <v>-0.34530199099380599</v>
      </c>
    </row>
    <row r="48" spans="1:10" x14ac:dyDescent="0.2">
      <c r="A48" s="9" t="s">
        <v>47</v>
      </c>
      <c r="B48" s="9">
        <v>5.1684738857328449</v>
      </c>
      <c r="C48" s="9">
        <v>10.43869416683193</v>
      </c>
      <c r="D48" s="9">
        <v>0.50765492882431629</v>
      </c>
      <c r="E48" s="9">
        <f t="shared" si="6"/>
        <v>6.8250344473084645E-2</v>
      </c>
      <c r="F48" s="9">
        <f t="shared" si="7"/>
        <v>1.3381833937464385</v>
      </c>
      <c r="G48" s="9">
        <f t="shared" si="8"/>
        <v>3.0611204795828684E-2</v>
      </c>
      <c r="H48" s="9">
        <f t="shared" si="9"/>
        <v>0.294109923100001</v>
      </c>
      <c r="I48" s="9">
        <f t="shared" si="10"/>
        <v>-2.8833511859066574E-3</v>
      </c>
      <c r="J48" s="9">
        <f t="shared" si="11"/>
        <v>-0.56476689384563317</v>
      </c>
    </row>
    <row r="49" spans="1:10" x14ac:dyDescent="0.2">
      <c r="A49" s="9" t="s">
        <v>48</v>
      </c>
      <c r="B49" s="9">
        <v>5.1516334767044416</v>
      </c>
      <c r="C49" s="9">
        <v>10.44698221365897</v>
      </c>
      <c r="D49" s="9">
        <v>0.50687280054743111</v>
      </c>
      <c r="E49" s="9">
        <f t="shared" si="6"/>
        <v>5.1409935444681309E-2</v>
      </c>
      <c r="F49" s="9">
        <f t="shared" si="7"/>
        <v>1.0079937678963578</v>
      </c>
      <c r="G49" s="9">
        <f t="shared" si="8"/>
        <v>3.8899251622869002E-2</v>
      </c>
      <c r="H49" s="9">
        <f t="shared" si="9"/>
        <v>0.37374079131340116</v>
      </c>
      <c r="I49" s="9">
        <f t="shared" si="10"/>
        <v>-3.6654794627918319E-3</v>
      </c>
      <c r="J49" s="9">
        <f t="shared" si="11"/>
        <v>-0.71796368779995012</v>
      </c>
    </row>
    <row r="50" spans="1:10" x14ac:dyDescent="0.2">
      <c r="A50" s="9" t="s">
        <v>49</v>
      </c>
      <c r="B50" s="9">
        <v>5.2677884927772096</v>
      </c>
      <c r="C50" s="9">
        <v>10.617737492449629</v>
      </c>
      <c r="D50" s="9">
        <v>0.49062079094962041</v>
      </c>
      <c r="E50" s="9">
        <f t="shared" si="6"/>
        <v>0.16756495151744932</v>
      </c>
      <c r="F50" s="9">
        <f t="shared" si="7"/>
        <v>3.2854432783560035</v>
      </c>
      <c r="G50" s="9">
        <f t="shared" si="8"/>
        <v>0.20965453041352866</v>
      </c>
      <c r="H50" s="9">
        <f t="shared" si="9"/>
        <v>2.0143433827175663</v>
      </c>
      <c r="I50" s="9">
        <f t="shared" si="10"/>
        <v>-1.9917489060602533E-2</v>
      </c>
      <c r="J50" s="9">
        <f t="shared" si="11"/>
        <v>-3.9012724100147218</v>
      </c>
    </row>
    <row r="51" spans="1:10" x14ac:dyDescent="0.2">
      <c r="A51" s="9" t="s">
        <v>50</v>
      </c>
      <c r="B51" s="9">
        <v>5.4268481496653056</v>
      </c>
      <c r="C51" s="9">
        <v>10.6722786908496</v>
      </c>
      <c r="D51" s="9">
        <v>0.48537419143484611</v>
      </c>
      <c r="E51" s="9">
        <f t="shared" si="6"/>
        <v>0.3266246084055453</v>
      </c>
      <c r="F51" s="9">
        <f t="shared" si="7"/>
        <v>6.4041233832834843</v>
      </c>
      <c r="G51" s="9">
        <f t="shared" si="8"/>
        <v>0.26419572881349929</v>
      </c>
      <c r="H51" s="9">
        <f t="shared" si="9"/>
        <v>2.5383707045491835</v>
      </c>
      <c r="I51" s="9">
        <f t="shared" si="10"/>
        <v>-2.5164088575376831E-2</v>
      </c>
      <c r="J51" s="9">
        <f t="shared" si="11"/>
        <v>-4.9289327677589521</v>
      </c>
    </row>
    <row r="52" spans="1:10" x14ac:dyDescent="0.2">
      <c r="A52" s="10" t="s">
        <v>23</v>
      </c>
      <c r="B52" s="9">
        <v>5.1009637261307494</v>
      </c>
      <c r="C52" s="9">
        <v>10.38374812855815</v>
      </c>
      <c r="D52" s="9">
        <v>0.51282439024465876</v>
      </c>
      <c r="E52" s="9">
        <f t="shared" ref="E52" si="12">B52-$B$19</f>
        <v>7.4018487098914676E-4</v>
      </c>
      <c r="F52" s="9">
        <f t="shared" si="7"/>
        <v>1.4512792723715015E-2</v>
      </c>
      <c r="G52" s="9">
        <f t="shared" ref="G52" si="13">C52-$C$19</f>
        <v>-2.4334833477951179E-2</v>
      </c>
      <c r="H52" s="9">
        <f t="shared" si="9"/>
        <v>-0.23380706674527346</v>
      </c>
      <c r="I52" s="9">
        <f t="shared" ref="I52" si="14">D52-$D$19</f>
        <v>2.286110234435812E-3</v>
      </c>
      <c r="J52" s="9">
        <f t="shared" si="11"/>
        <v>0.4477842943314721</v>
      </c>
    </row>
    <row r="53" spans="1:10" ht="57" x14ac:dyDescent="0.2">
      <c r="A53" s="11" t="s">
        <v>51</v>
      </c>
      <c r="B53" s="9">
        <v>5.10410404205322</v>
      </c>
      <c r="C53" s="9">
        <v>10.4157705307006</v>
      </c>
      <c r="D53" s="9">
        <v>0.50981497764587402</v>
      </c>
      <c r="E53" s="9">
        <f t="shared" ref="E53:E66" si="15">B53-$B$19</f>
        <v>3.8805007934596958E-3</v>
      </c>
      <c r="F53" s="9">
        <f t="shared" si="7"/>
        <v>7.6084915927061667E-2</v>
      </c>
      <c r="G53" s="9">
        <f t="shared" ref="G53:G66" si="16">C53-$C$19</f>
        <v>7.6875686644992669E-3</v>
      </c>
      <c r="H53" s="9">
        <f t="shared" si="9"/>
        <v>7.3861523707487553E-2</v>
      </c>
      <c r="I53" s="9">
        <f t="shared" ref="I53:I66" si="17">D53-$D$19</f>
        <v>-7.2330236434892115E-4</v>
      </c>
      <c r="J53" s="9">
        <f t="shared" si="11"/>
        <v>-0.14167446255635088</v>
      </c>
    </row>
    <row r="54" spans="1:10" ht="42.75" x14ac:dyDescent="0.2">
      <c r="A54" s="21" t="s">
        <v>52</v>
      </c>
      <c r="B54" s="22">
        <v>5.0930027961730904</v>
      </c>
      <c r="C54" s="22">
        <v>10.398836135864199</v>
      </c>
      <c r="D54" s="22">
        <v>0.51140761375427202</v>
      </c>
      <c r="E54" s="19">
        <f t="shared" si="15"/>
        <v>-7.2207450866699219E-3</v>
      </c>
      <c r="F54" s="19">
        <f t="shared" si="7"/>
        <v>-0.14157703144294712</v>
      </c>
      <c r="G54" s="19">
        <f t="shared" si="16"/>
        <v>-9.2468261719016454E-3</v>
      </c>
      <c r="H54" s="19">
        <f t="shared" si="9"/>
        <v>-8.8842740835462342E-2</v>
      </c>
      <c r="I54" s="19">
        <f t="shared" si="17"/>
        <v>8.6933374404907227E-4</v>
      </c>
      <c r="J54" s="19">
        <f t="shared" si="11"/>
        <v>0.17027787691682295</v>
      </c>
    </row>
    <row r="55" spans="1:10" ht="28.5" x14ac:dyDescent="0.2">
      <c r="A55" s="11" t="s">
        <v>53</v>
      </c>
      <c r="B55" s="9">
        <v>5.1060023307800204</v>
      </c>
      <c r="C55" s="9">
        <v>10.4023180007934</v>
      </c>
      <c r="D55" s="9">
        <v>0.51108026504516602</v>
      </c>
      <c r="E55" s="9">
        <f t="shared" si="15"/>
        <v>5.7787895202601192E-3</v>
      </c>
      <c r="F55" s="9">
        <f t="shared" si="7"/>
        <v>0.11330463211094376</v>
      </c>
      <c r="G55" s="9">
        <f t="shared" si="16"/>
        <v>-5.7649612427006502E-3</v>
      </c>
      <c r="H55" s="9">
        <f t="shared" si="9"/>
        <v>-5.5389270663277548E-2</v>
      </c>
      <c r="I55" s="9">
        <f t="shared" si="17"/>
        <v>5.4198503494307104E-4</v>
      </c>
      <c r="J55" s="9">
        <f t="shared" si="11"/>
        <v>0.10615952929763042</v>
      </c>
    </row>
    <row r="56" spans="1:10" ht="42.75" x14ac:dyDescent="0.2">
      <c r="A56" s="11" t="s">
        <v>54</v>
      </c>
      <c r="B56" s="9">
        <v>5.1023015975952104</v>
      </c>
      <c r="C56" s="9">
        <v>10.408617019653301</v>
      </c>
      <c r="D56" s="9">
        <v>0.51048803329467696</v>
      </c>
      <c r="E56" s="9">
        <f t="shared" si="15"/>
        <v>2.0780563354501069E-3</v>
      </c>
      <c r="F56" s="9">
        <f t="shared" si="7"/>
        <v>4.07444167621097E-2</v>
      </c>
      <c r="G56" s="9">
        <f t="shared" si="16"/>
        <v>5.340576171999345E-4</v>
      </c>
      <c r="H56" s="9">
        <f t="shared" si="9"/>
        <v>5.1311814014927733E-3</v>
      </c>
      <c r="I56" s="9">
        <f t="shared" si="17"/>
        <v>-5.0246715545987364E-5</v>
      </c>
      <c r="J56" s="9">
        <f t="shared" si="11"/>
        <v>-9.841909512638549E-3</v>
      </c>
    </row>
    <row r="57" spans="1:10" ht="42.75" x14ac:dyDescent="0.2">
      <c r="A57" s="11" t="s">
        <v>55</v>
      </c>
      <c r="B57" s="9">
        <v>5.1109366416931099</v>
      </c>
      <c r="C57" s="9">
        <v>10.411251068115201</v>
      </c>
      <c r="D57" s="9">
        <v>0.51024019718170099</v>
      </c>
      <c r="E57" s="9">
        <f t="shared" si="15"/>
        <v>1.0713100433349609E-2</v>
      </c>
      <c r="F57" s="9">
        <f t="shared" si="7"/>
        <v>0.2100515859095749</v>
      </c>
      <c r="G57" s="9">
        <f t="shared" si="16"/>
        <v>3.1681060790997861E-3</v>
      </c>
      <c r="H57" s="9">
        <f t="shared" si="9"/>
        <v>3.0438901098843851E-2</v>
      </c>
      <c r="I57" s="9">
        <f t="shared" si="17"/>
        <v>-2.9808282852195056E-4</v>
      </c>
      <c r="J57" s="9">
        <f t="shared" si="11"/>
        <v>-5.8385989884241749E-2</v>
      </c>
    </row>
    <row r="59" spans="1:10" ht="15" x14ac:dyDescent="0.25">
      <c r="B59" s="7" t="s">
        <v>0</v>
      </c>
      <c r="C59" s="7" t="s">
        <v>1</v>
      </c>
      <c r="D59" s="7" t="s">
        <v>2</v>
      </c>
    </row>
    <row r="60" spans="1:10" x14ac:dyDescent="0.2">
      <c r="A60" s="23" t="s">
        <v>21</v>
      </c>
      <c r="B60" s="24">
        <v>5.1002235412597603</v>
      </c>
      <c r="C60" s="24">
        <v>10.408082962036101</v>
      </c>
      <c r="D60" s="24">
        <v>0.51053828001022294</v>
      </c>
    </row>
    <row r="64" spans="1:10" ht="57.75" x14ac:dyDescent="0.25">
      <c r="A64" s="14" t="s">
        <v>56</v>
      </c>
      <c r="B64" s="25">
        <v>5.0851511955261204</v>
      </c>
      <c r="C64" s="25">
        <v>10.406154632568301</v>
      </c>
      <c r="D64" s="25">
        <v>0.51071953773498502</v>
      </c>
      <c r="E64" s="9">
        <f>B64-$B$54</f>
        <v>-7.8516006469699917E-3</v>
      </c>
      <c r="F64" s="9">
        <f>(100/$B$54)*E64</f>
        <v>-0.15416446762742261</v>
      </c>
      <c r="G64" s="9">
        <f>C64-$C$54</f>
        <v>7.3184967041015625E-3</v>
      </c>
      <c r="H64" s="9">
        <f>(100/$C$54)*G64</f>
        <v>7.0378036623358675E-2</v>
      </c>
      <c r="I64" s="9">
        <f>D64-$D$54</f>
        <v>-6.8807601928699835E-4</v>
      </c>
      <c r="J64" s="9">
        <f>(100/$D$54)*I64</f>
        <v>-0.13454551727061584</v>
      </c>
    </row>
    <row r="65" spans="1:11" ht="57" x14ac:dyDescent="0.2">
      <c r="A65" s="12" t="s">
        <v>57</v>
      </c>
      <c r="B65" s="26">
        <v>5.0647306442260698</v>
      </c>
      <c r="C65" s="26">
        <v>10.381989479064901</v>
      </c>
      <c r="D65" s="26">
        <v>0.512989401817321</v>
      </c>
      <c r="E65" s="9">
        <f>B65-$B$54</f>
        <v>-2.8272151947020596E-2</v>
      </c>
      <c r="F65" s="9">
        <f>(100/$B$54)*E65</f>
        <v>-0.55511754221427967</v>
      </c>
      <c r="G65" s="9">
        <f>C65-$C$54</f>
        <v>-1.6846656799298643E-2</v>
      </c>
      <c r="H65" s="9">
        <f>(100/$C$54)*G65</f>
        <v>-0.16200521461432368</v>
      </c>
      <c r="I65" s="9">
        <f>D65-$D$54</f>
        <v>1.5817880630489833E-3</v>
      </c>
      <c r="J65" s="9">
        <f>(100/$D$54)*I65</f>
        <v>0.3093008434968319</v>
      </c>
      <c r="K65" s="13" t="s">
        <v>58</v>
      </c>
    </row>
  </sheetData>
  <conditionalFormatting sqref="E5:H13 E22:H57 E64:H65">
    <cfRule type="cellIs" dxfId="3" priority="11" operator="lessThan">
      <formula>0</formula>
    </cfRule>
    <cfRule type="cellIs" dxfId="2" priority="14" operator="greaterThan">
      <formula>0</formula>
    </cfRule>
  </conditionalFormatting>
  <conditionalFormatting sqref="I5:J13 I22:J57 I64:J65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Romano Burri</dc:creator>
  <cp:lastModifiedBy>Burri Romano (burrirom)</cp:lastModifiedBy>
  <dcterms:created xsi:type="dcterms:W3CDTF">2015-06-05T18:19:34Z</dcterms:created>
  <dcterms:modified xsi:type="dcterms:W3CDTF">2025-11-12T14:44:35Z</dcterms:modified>
</cp:coreProperties>
</file>